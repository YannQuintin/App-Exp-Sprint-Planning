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 Capacity" sheetId="1" state="visible" r:id="rId3"/>
    <sheet name="Assignments" sheetId="2" state="visible" r:id="rId4"/>
    <sheet name="Holidays" sheetId="3" state="visible" r:id="rId5"/>
    <sheet name="How to U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<sst xmlns="http://schemas.openxmlformats.org/spreadsheetml/2006/main" count="114" uniqueCount="87">
  <si>
    <t xml:space="preserve">Sprint Capacity Planner</t>
  </si>
  <si>
    <t xml:space="preserve">Blue cells = inputs. Gray cells = formulas. Adjust capacity/support per person per sprint.</t>
  </si>
  <si>
    <t xml:space="preserve">Sprint:</t>
  </si>
  <si>
    <t xml:space="preserve">8.20</t>
  </si>
  <si>
    <t xml:space="preserve">#</t>
  </si>
  <si>
    <t xml:space="preserve">Name</t>
  </si>
  <si>
    <t xml:space="preserve">Discipline</t>
  </si>
  <si>
    <t xml:space="preserve">Total Days</t>
  </si>
  <si>
    <t xml:space="preserve">Support (days)</t>
  </si>
  <si>
    <t xml:space="preserve">Available (pts)</t>
  </si>
  <si>
    <t xml:space="preserve">Assigned (pts)</t>
  </si>
  <si>
    <t xml:space="preserve">Remaining</t>
  </si>
  <si>
    <t xml:space="preserve">Anze</t>
  </si>
  <si>
    <t xml:space="preserve">Android</t>
  </si>
  <si>
    <t xml:space="preserve">Zoran</t>
  </si>
  <si>
    <t xml:space="preserve">Haba</t>
  </si>
  <si>
    <t xml:space="preserve">iOS</t>
  </si>
  <si>
    <t xml:space="preserve">Giorgio</t>
  </si>
  <si>
    <t xml:space="preserve">Luka</t>
  </si>
  <si>
    <t xml:space="preserve">Corina</t>
  </si>
  <si>
    <t xml:space="preserve">Back-end</t>
  </si>
  <si>
    <t xml:space="preserve">Ivona</t>
  </si>
  <si>
    <t xml:space="preserve">Anna</t>
  </si>
  <si>
    <t xml:space="preserve">QA</t>
  </si>
  <si>
    <t xml:space="preserve">Diana</t>
  </si>
  <si>
    <t xml:space="preserve">TOTAL</t>
  </si>
  <si>
    <t xml:space="preserve">Discipline Summary</t>
  </si>
  <si>
    <t xml:space="preserve">People</t>
  </si>
  <si>
    <t xml:space="preserve">Available</t>
  </si>
  <si>
    <t xml:space="preserve">Assigned</t>
  </si>
  <si>
    <t xml:space="preserve">% Used</t>
  </si>
  <si>
    <t xml:space="preserve">EPIC Breakdown</t>
  </si>
  <si>
    <t xml:space="preserve">EPIC Tag</t>
  </si>
  <si>
    <t xml:space="preserve">Points</t>
  </si>
  <si>
    <t xml:space="preserve">% of Capacity</t>
  </si>
  <si>
    <t xml:space="preserve">Support</t>
  </si>
  <si>
    <t xml:space="preserve">Fix the Basics</t>
  </si>
  <si>
    <t xml:space="preserve">Ticket Assignments (Multi-Discipline)</t>
  </si>
  <si>
    <t xml:space="preserve">Each ticket can have up to 4 disciplines. Enter assignee + points per discipline. EPIC tag links to breakdown on Team Capacity sheet.</t>
  </si>
  <si>
    <t xml:space="preserve">Ticket Info</t>
  </si>
  <si>
    <t xml:space="preserve">Total Pts</t>
  </si>
  <si>
    <t xml:space="preserve">Jira Key</t>
  </si>
  <si>
    <t xml:space="preserve">Title</t>
  </si>
  <si>
    <t xml:space="preserve">Status</t>
  </si>
  <si>
    <t xml:space="preserve">BE Person</t>
  </si>
  <si>
    <t xml:space="preserve">BE Pts</t>
  </si>
  <si>
    <t xml:space="preserve">And Person</t>
  </si>
  <si>
    <t xml:space="preserve">And Pts</t>
  </si>
  <si>
    <t xml:space="preserve">iOS Person</t>
  </si>
  <si>
    <t xml:space="preserve">iOS Pts</t>
  </si>
  <si>
    <t xml:space="preserve">QA Person</t>
  </si>
  <si>
    <t xml:space="preserve">QA Pts</t>
  </si>
  <si>
    <t xml:space="preserve">Total</t>
  </si>
  <si>
    <t xml:space="preserve">TOTALS</t>
  </si>
  <si>
    <t xml:space="preserve">Holiday / Leave Register</t>
  </si>
  <si>
    <t xml:space="preserve">Enter leave days per person. Col B (Leave Days) feeds into Team Capacity automatically. Update 1 week before sprint planning.</t>
  </si>
  <si>
    <t xml:space="preserve">Leave Days</t>
  </si>
  <si>
    <t xml:space="preserve">From</t>
  </si>
  <si>
    <t xml:space="preserve">To</t>
  </si>
  <si>
    <t xml:space="preserve">Notes</t>
  </si>
  <si>
    <t xml:space="preserve">Sprint Capacity Planner v2 - Instructions</t>
  </si>
  <si>
    <t xml:space="preserve">BEFORE SPRINT PLANNING (1 week ahead)</t>
  </si>
  <si>
    <t xml:space="preserve">1. Go to Holidays sheet and enter leave days for anyone off during the sprint.</t>
  </si>
  <si>
    <t xml:space="preserve">2. Team Capacity sheet auto-adjusts Total Days via VLOOKUP from Holidays.</t>
  </si>
  <si>
    <t xml:space="preserve">3. Adjust Support days (col E on Team Capacity) per person as needed.</t>
  </si>
  <si>
    <t xml:space="preserve">DURING SPRINT PLANNING</t>
  </si>
  <si>
    <t xml:space="preserve">1. On Assignments sheet, enter each ticket: Jira key, title, and EPIC tag.</t>
  </si>
  <si>
    <t xml:space="preserve">2. For each ticket, fill in the relevant disciplines:</t>
  </si>
  <si>
    <t xml:space="preserve">   - A mobile ticket might have: Android person + pts, iOS person + pts, QA person + pts</t>
  </si>
  <si>
    <t xml:space="preserve">   - A backend ticket might have: BE person + pts, QA person + pts</t>
  </si>
  <si>
    <t xml:space="preserve">   - A full-stack ticket: BE + Android + iOS + QA, each with their own person and estimate</t>
  </si>
  <si>
    <t xml:space="preserve">3. Names must EXACTLY match the Team Capacity sheet (col B).</t>
  </si>
  <si>
    <t xml:space="preserve">4. Monitor Team Capacity sheet: Assigned (col G) and Remaining (col H) update live.</t>
  </si>
  <si>
    <t xml:space="preserve">5. Red cells in Remaining = over-allocated. Stop assigning to that person.</t>
  </si>
  <si>
    <t xml:space="preserve">EPIC BREAKDOWN</t>
  </si>
  <si>
    <t xml:space="preserve">1. On Team Capacity sheet, the EPIC Breakdown section shows points and % per EPIC tag.</t>
  </si>
  <si>
    <t xml:space="preserve">2. Pre-filled with 'Support' and 'Fix the Basics'. Add more EPIC names in col A.</t>
  </si>
  <si>
    <t xml:space="preserve">3. EPIC tags on Assignments must EXACTLY match the names in the breakdown.</t>
  </si>
  <si>
    <t xml:space="preserve">AFTER SPRINT PLANNING</t>
  </si>
  <si>
    <t xml:space="preserve">1. You can update any allocation at any time: change assignees, points, EPIC tags.</t>
  </si>
  <si>
    <t xml:space="preserve">2. All formulas recalculate automatically when you edit.</t>
  </si>
  <si>
    <t xml:space="preserve">3. Save a copy per sprint for historical reference.</t>
  </si>
  <si>
    <t xml:space="preserve">COLOR GUIDE</t>
  </si>
  <si>
    <t xml:space="preserve">  Yellow cells = inputs you edit (blue text)</t>
  </si>
  <si>
    <t xml:space="preserve">  Gray cells = formulas (do not overwrite)</t>
  </si>
  <si>
    <t xml:space="preserve">  Green text = cross-sheet lookups</t>
  </si>
  <si>
    <t xml:space="preserve">  Red highlight on Remaining = over-allocation warning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</si>
</sst>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3DA5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003DA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3DA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3DA5"/>
      <name val="Arial"/>
      <family val="0"/>
      <charset val="1"/>
    </font>
    <font>
      <b val="true"/>
      <sz val="14"/>
      <color rgb="FF003DA5"/>
      <name val="Arial"/>
      <family val="0"/>
      <charset val="1"/>
    </font>
    <font>
      <b val="true"/>
      <sz val="9"/>
      <color rgb="FF003DA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3341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003DA5"/>
        <bgColor rgb="FF333399"/>
      </patternFill>
    </fill>
    <fill>
      <patternFill patternType="solid">
        <fgColor rgb="FFF5F7FA"/>
        <bgColor rgb="FFFFFFFF"/>
      </patternFill>
    </fill>
    <fill>
      <patternFill patternType="solid">
        <fgColor rgb="FF00D4C8"/>
        <bgColor rgb="FF00BCD4"/>
      </patternFill>
    </fill>
    <fill>
      <patternFill patternType="solid">
        <fgColor rgb="FF00BCD4"/>
        <bgColor rgb="FF00D4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DC2626"/>
      </font>
      <fill>
        <patternFill>
          <bgColor rgb="FFFEE2E2"/>
        </patternFill>
      </fill>
    </dxf>
    <dxf>
      <font>
        <b val="1"/>
        <color rgb="FF16A34A"/>
      </font>
      <fill>
        <patternFill>
          <bgColor rgb="FFDCFCE7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CD4"/>
      <rgbColor rgb="FFE2E8F0"/>
      <rgbColor rgb="FFF5F7FA"/>
      <rgbColor rgb="FFFFFF99"/>
      <rgbColor rgb="FF99CCFF"/>
      <rgbColor rgb="FFFF99CC"/>
      <rgbColor rgb="FFCC99FF"/>
      <rgbColor rgb="FFFEE2E2"/>
      <rgbColor rgb="FF3366FF"/>
      <rgbColor rgb="FF00D4C8"/>
      <rgbColor rgb="FF99CC00"/>
      <rgbColor rgb="FFFFCC00"/>
      <rgbColor rgb="FFF59E0B"/>
      <rgbColor rgb="FFFF6600"/>
      <rgbColor rgb="FF64748B"/>
      <rgbColor rgb="FF969696"/>
      <rgbColor rgb="FF003DA5"/>
      <rgbColor rgb="FF16A34A"/>
      <rgbColor rgb="FF003300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DA5"/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4" t="s">
        <v>3</v>
      </c>
    </row>
    <row r="5" customFormat="false" ht="15" hidden="false" customHeight="fals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</row>
    <row r="6" customFormat="false" ht="15" hidden="false" customHeight="false" outlineLevel="0" collapsed="false">
      <c r="A6" s="6" t="n">
        <v>1</v>
      </c>
      <c r="B6" s="7" t="s">
        <v>12</v>
      </c>
      <c r="C6" s="7" t="s">
        <v>13</v>
      </c>
      <c r="D6" s="8" t="n">
        <f aca="false">10-IFERROR(VLOOKUP(B6,Holidays!A:B,2,FALSE()),0)</f>
        <v>10</v>
      </c>
      <c r="E6" s="9" t="n">
        <v>2</v>
      </c>
      <c r="F6" s="8" t="n">
        <f aca="false">MAX(0,D6-E6)</f>
        <v>8</v>
      </c>
      <c r="G6" s="8" t="n">
        <f aca="false">SUMIF(Assignments!F:F,B6,Assignments!G:G)+SUMIF(Assignments!H:H,B6,Assignments!I:I)+SUMIF(Assignments!J:J,B6,Assignments!K:K)+SUMIF(Assignments!L:L,B6,Assignments!M:M)</f>
        <v>0</v>
      </c>
      <c r="H6" s="10" t="n">
        <f aca="false">F6-G6</f>
        <v>8</v>
      </c>
    </row>
    <row r="7" customFormat="false" ht="15" hidden="false" customHeight="false" outlineLevel="0" collapsed="false">
      <c r="A7" s="6" t="n">
        <v>2</v>
      </c>
      <c r="B7" s="7" t="s">
        <v>14</v>
      </c>
      <c r="C7" s="7" t="s">
        <v>13</v>
      </c>
      <c r="D7" s="8" t="n">
        <f aca="false">10-IFERROR(VLOOKUP(B7,Holidays!A:B,2,FALSE()),0)</f>
        <v>10</v>
      </c>
      <c r="E7" s="9" t="n">
        <v>2</v>
      </c>
      <c r="F7" s="8" t="n">
        <f aca="false">MAX(0,D7-E7)</f>
        <v>8</v>
      </c>
      <c r="G7" s="8" t="n">
        <f aca="false">SUMIF(Assignments!F:F,B7,Assignments!G:G)+SUMIF(Assignments!H:H,B7,Assignments!I:I)+SUMIF(Assignments!J:J,B7,Assignments!K:K)+SUMIF(Assignments!L:L,B7,Assignments!M:M)</f>
        <v>0</v>
      </c>
      <c r="H7" s="10" t="n">
        <f aca="false">F7-G7</f>
        <v>8</v>
      </c>
    </row>
    <row r="8" customFormat="false" ht="15" hidden="false" customHeight="false" outlineLevel="0" collapsed="false">
      <c r="A8" s="6" t="n">
        <v>3</v>
      </c>
      <c r="B8" s="7" t="s">
        <v>15</v>
      </c>
      <c r="C8" s="7" t="s">
        <v>16</v>
      </c>
      <c r="D8" s="8" t="n">
        <f aca="false">10-IFERROR(VLOOKUP(B8,Holidays!A:B,2,FALSE()),0)</f>
        <v>10</v>
      </c>
      <c r="E8" s="9" t="n">
        <v>2</v>
      </c>
      <c r="F8" s="8" t="n">
        <f aca="false">MAX(0,D8-E8)</f>
        <v>8</v>
      </c>
      <c r="G8" s="8" t="n">
        <f aca="false">SUMIF(Assignments!F:F,B8,Assignments!G:G)+SUMIF(Assignments!H:H,B8,Assignments!I:I)+SUMIF(Assignments!J:J,B8,Assignments!K:K)+SUMIF(Assignments!L:L,B8,Assignments!M:M)</f>
        <v>0</v>
      </c>
      <c r="H8" s="10" t="n">
        <f aca="false">F8-G8</f>
        <v>8</v>
      </c>
    </row>
    <row r="9" customFormat="false" ht="15" hidden="false" customHeight="false" outlineLevel="0" collapsed="false">
      <c r="A9" s="6" t="n">
        <v>4</v>
      </c>
      <c r="B9" s="7" t="s">
        <v>17</v>
      </c>
      <c r="C9" s="7" t="s">
        <v>16</v>
      </c>
      <c r="D9" s="8" t="n">
        <f aca="false">10-IFERROR(VLOOKUP(B9,Holidays!A:B,2,FALSE()),0)</f>
        <v>10</v>
      </c>
      <c r="E9" s="9" t="n">
        <v>2</v>
      </c>
      <c r="F9" s="8" t="n">
        <f aca="false">MAX(0,D9-E9)</f>
        <v>8</v>
      </c>
      <c r="G9" s="8" t="n">
        <f aca="false">SUMIF(Assignments!F:F,B9,Assignments!G:G)+SUMIF(Assignments!H:H,B9,Assignments!I:I)+SUMIF(Assignments!J:J,B9,Assignments!K:K)+SUMIF(Assignments!L:L,B9,Assignments!M:M)</f>
        <v>0</v>
      </c>
      <c r="H9" s="10" t="n">
        <f aca="false">F9-G9</f>
        <v>8</v>
      </c>
    </row>
    <row r="10" customFormat="false" ht="15" hidden="false" customHeight="false" outlineLevel="0" collapsed="false">
      <c r="A10" s="6" t="n">
        <v>5</v>
      </c>
      <c r="B10" s="7" t="s">
        <v>18</v>
      </c>
      <c r="C10" s="7" t="s">
        <v>16</v>
      </c>
      <c r="D10" s="8" t="n">
        <f aca="false">10-IFERROR(VLOOKUP(B10,Holidays!A:B,2,FALSE()),0)</f>
        <v>10</v>
      </c>
      <c r="E10" s="9" t="n">
        <v>2</v>
      </c>
      <c r="F10" s="8" t="n">
        <f aca="false">MAX(0,D10-E10)</f>
        <v>8</v>
      </c>
      <c r="G10" s="8" t="n">
        <f aca="false">SUMIF(Assignments!F:F,B10,Assignments!G:G)+SUMIF(Assignments!H:H,B10,Assignments!I:I)+SUMIF(Assignments!J:J,B10,Assignments!K:K)+SUMIF(Assignments!L:L,B10,Assignments!M:M)</f>
        <v>0</v>
      </c>
      <c r="H10" s="10" t="n">
        <f aca="false">F10-G10</f>
        <v>8</v>
      </c>
    </row>
    <row r="11" customFormat="false" ht="15" hidden="false" customHeight="false" outlineLevel="0" collapsed="false">
      <c r="A11" s="6" t="n">
        <v>6</v>
      </c>
      <c r="B11" s="7" t="s">
        <v>19</v>
      </c>
      <c r="C11" s="7" t="s">
        <v>20</v>
      </c>
      <c r="D11" s="8" t="n">
        <f aca="false">10-IFERROR(VLOOKUP(B11,Holidays!A:B,2,FALSE()),0)</f>
        <v>10</v>
      </c>
      <c r="E11" s="9" t="n">
        <v>2</v>
      </c>
      <c r="F11" s="8" t="n">
        <f aca="false">MAX(0,D11-E11)</f>
        <v>8</v>
      </c>
      <c r="G11" s="8" t="n">
        <f aca="false">SUMIF(Assignments!F:F,B11,Assignments!G:G)+SUMIF(Assignments!H:H,B11,Assignments!I:I)+SUMIF(Assignments!J:J,B11,Assignments!K:K)+SUMIF(Assignments!L:L,B11,Assignments!M:M)</f>
        <v>0</v>
      </c>
      <c r="H11" s="10" t="n">
        <f aca="false">F11-G11</f>
        <v>8</v>
      </c>
    </row>
    <row r="12" customFormat="false" ht="15" hidden="false" customHeight="false" outlineLevel="0" collapsed="false">
      <c r="A12" s="6" t="n">
        <v>7</v>
      </c>
      <c r="B12" s="7" t="s">
        <v>21</v>
      </c>
      <c r="C12" s="7" t="s">
        <v>20</v>
      </c>
      <c r="D12" s="8" t="n">
        <f aca="false">10-IFERROR(VLOOKUP(B12,Holidays!A:B,2,FALSE()),0)</f>
        <v>10</v>
      </c>
      <c r="E12" s="9" t="n">
        <v>2</v>
      </c>
      <c r="F12" s="8" t="n">
        <f aca="false">MAX(0,D12-E12)</f>
        <v>8</v>
      </c>
      <c r="G12" s="8" t="n">
        <f aca="false">SUMIF(Assignments!F:F,B12,Assignments!G:G)+SUMIF(Assignments!H:H,B12,Assignments!I:I)+SUMIF(Assignments!J:J,B12,Assignments!K:K)+SUMIF(Assignments!L:L,B12,Assignments!M:M)</f>
        <v>0</v>
      </c>
      <c r="H12" s="10" t="n">
        <f aca="false">F12-G12</f>
        <v>8</v>
      </c>
    </row>
    <row r="13" customFormat="false" ht="15" hidden="false" customHeight="false" outlineLevel="0" collapsed="false">
      <c r="A13" s="6" t="n">
        <v>8</v>
      </c>
      <c r="B13" s="7" t="s">
        <v>22</v>
      </c>
      <c r="C13" s="7" t="s">
        <v>23</v>
      </c>
      <c r="D13" s="8" t="n">
        <f aca="false">10-IFERROR(VLOOKUP(B13,Holidays!A:B,2,FALSE()),0)</f>
        <v>10</v>
      </c>
      <c r="E13" s="9" t="n">
        <v>2</v>
      </c>
      <c r="F13" s="8" t="n">
        <f aca="false">MAX(0,D13-E13)</f>
        <v>8</v>
      </c>
      <c r="G13" s="8" t="n">
        <f aca="false">SUMIF(Assignments!F:F,B13,Assignments!G:G)+SUMIF(Assignments!H:H,B13,Assignments!I:I)+SUMIF(Assignments!J:J,B13,Assignments!K:K)+SUMIF(Assignments!L:L,B13,Assignments!M:M)</f>
        <v>0</v>
      </c>
      <c r="H13" s="10" t="n">
        <f aca="false">F13-G13</f>
        <v>8</v>
      </c>
    </row>
    <row r="14" customFormat="false" ht="15" hidden="false" customHeight="false" outlineLevel="0" collapsed="false">
      <c r="A14" s="6" t="n">
        <v>9</v>
      </c>
      <c r="B14" s="7" t="s">
        <v>24</v>
      </c>
      <c r="C14" s="7" t="s">
        <v>23</v>
      </c>
      <c r="D14" s="8" t="n">
        <f aca="false">10-IFERROR(VLOOKUP(B14,Holidays!A:B,2,FALSE()),0)</f>
        <v>10</v>
      </c>
      <c r="E14" s="9" t="n">
        <v>2</v>
      </c>
      <c r="F14" s="8" t="n">
        <f aca="false">MAX(0,D14-E14)</f>
        <v>8</v>
      </c>
      <c r="G14" s="8" t="n">
        <f aca="false">SUMIF(Assignments!F:F,B14,Assignments!G:G)+SUMIF(Assignments!H:H,B14,Assignments!I:I)+SUMIF(Assignments!J:J,B14,Assignments!K:K)+SUMIF(Assignments!L:L,B14,Assignments!M:M)</f>
        <v>0</v>
      </c>
      <c r="H14" s="10" t="n">
        <f aca="false">F14-G14</f>
        <v>8</v>
      </c>
    </row>
    <row r="15" customFormat="false" ht="15" hidden="false" customHeight="false" outlineLevel="0" collapsed="false">
      <c r="B15" s="11" t="s">
        <v>25</v>
      </c>
      <c r="D15" s="12" t="n">
        <f aca="false">SUM(D6:D14)</f>
        <v>90</v>
      </c>
      <c r="E15" s="12" t="n">
        <f aca="false">SUM(E6:E14)</f>
        <v>18</v>
      </c>
      <c r="F15" s="12" t="n">
        <f aca="false">SUM(F6:F14)</f>
        <v>72</v>
      </c>
      <c r="G15" s="12" t="n">
        <f aca="false">SUM(G6:G14)</f>
        <v>0</v>
      </c>
      <c r="H15" s="12" t="n">
        <f aca="false">SUM(H6:H14)</f>
        <v>72</v>
      </c>
    </row>
    <row r="17" customFormat="false" ht="15" hidden="false" customHeight="false" outlineLevel="0" collapsed="false">
      <c r="A17" s="13" t="s">
        <v>26</v>
      </c>
    </row>
    <row r="18" customFormat="false" ht="15" hidden="false" customHeight="false" outlineLevel="0" collapsed="false">
      <c r="A18" s="5" t="s">
        <v>6</v>
      </c>
      <c r="B18" s="5" t="s">
        <v>27</v>
      </c>
      <c r="C18" s="5" t="s">
        <v>28</v>
      </c>
      <c r="D18" s="5" t="s">
        <v>29</v>
      </c>
      <c r="E18" s="5" t="s">
        <v>11</v>
      </c>
      <c r="F18" s="5" t="s">
        <v>30</v>
      </c>
    </row>
    <row r="19" customFormat="false" ht="15" hidden="false" customHeight="false" outlineLevel="0" collapsed="false">
      <c r="A19" s="14" t="s">
        <v>13</v>
      </c>
      <c r="B19" s="10" t="n">
        <f aca="false">COUNTIF(C6:C14,"Android")</f>
        <v>2</v>
      </c>
      <c r="C19" s="10" t="n">
        <f aca="false">SUMIF(C6:C14,"Android",F6:F14)</f>
        <v>16</v>
      </c>
      <c r="D19" s="10" t="n">
        <f aca="false">SUMIF(C6:C14,"Android",G6:G14)</f>
        <v>0</v>
      </c>
      <c r="E19" s="10" t="n">
        <f aca="false">C19-D19</f>
        <v>16</v>
      </c>
      <c r="F19" s="15" t="n">
        <f aca="false">IF(C19=0,0,D19/C19)</f>
        <v>0</v>
      </c>
    </row>
    <row r="20" customFormat="false" ht="15" hidden="false" customHeight="false" outlineLevel="0" collapsed="false">
      <c r="A20" s="14" t="s">
        <v>16</v>
      </c>
      <c r="B20" s="10" t="n">
        <f aca="false">COUNTIF(C6:C14,"iOS")</f>
        <v>3</v>
      </c>
      <c r="C20" s="10" t="n">
        <f aca="false">SUMIF(C6:C14,"iOS",F6:F14)</f>
        <v>24</v>
      </c>
      <c r="D20" s="10" t="n">
        <f aca="false">SUMIF(C6:C14,"iOS",G6:G14)</f>
        <v>0</v>
      </c>
      <c r="E20" s="10" t="n">
        <f aca="false">C20-D20</f>
        <v>24</v>
      </c>
      <c r="F20" s="15" t="n">
        <f aca="false">IF(C20=0,0,D20/C20)</f>
        <v>0</v>
      </c>
    </row>
    <row r="21" customFormat="false" ht="15" hidden="false" customHeight="false" outlineLevel="0" collapsed="false">
      <c r="A21" s="14" t="s">
        <v>20</v>
      </c>
      <c r="B21" s="10" t="n">
        <f aca="false">COUNTIF(C6:C14,"Back-end")</f>
        <v>2</v>
      </c>
      <c r="C21" s="10" t="n">
        <f aca="false">SUMIF(C6:C14,"Back-end",F6:F14)</f>
        <v>16</v>
      </c>
      <c r="D21" s="10" t="n">
        <f aca="false">SUMIF(C6:C14,"Back-end",G6:G14)</f>
        <v>0</v>
      </c>
      <c r="E21" s="10" t="n">
        <f aca="false">C21-D21</f>
        <v>16</v>
      </c>
      <c r="F21" s="15" t="n">
        <f aca="false">IF(C21=0,0,D21/C21)</f>
        <v>0</v>
      </c>
    </row>
    <row r="22" customFormat="false" ht="15" hidden="false" customHeight="false" outlineLevel="0" collapsed="false">
      <c r="A22" s="14" t="s">
        <v>23</v>
      </c>
      <c r="B22" s="10" t="n">
        <f aca="false">COUNTIF(C6:C14,"QA")</f>
        <v>2</v>
      </c>
      <c r="C22" s="10" t="n">
        <f aca="false">SUMIF(C6:C14,"QA",F6:F14)</f>
        <v>16</v>
      </c>
      <c r="D22" s="10" t="n">
        <f aca="false">SUMIF(C6:C14,"QA",G6:G14)</f>
        <v>0</v>
      </c>
      <c r="E22" s="10" t="n">
        <f aca="false">C22-D22</f>
        <v>16</v>
      </c>
      <c r="F22" s="15" t="n">
        <f aca="false">IF(C22=0,0,D22/C22)</f>
        <v>0</v>
      </c>
    </row>
    <row r="24" customFormat="false" ht="15" hidden="false" customHeight="false" outlineLevel="0" collapsed="false">
      <c r="A24" s="13" t="s">
        <v>31</v>
      </c>
    </row>
    <row r="25" customFormat="false" ht="15" hidden="false" customHeight="false" outlineLevel="0" collapsed="false">
      <c r="A25" s="5" t="s">
        <v>32</v>
      </c>
      <c r="B25" s="5" t="s">
        <v>33</v>
      </c>
      <c r="C25" s="5" t="s">
        <v>34</v>
      </c>
    </row>
    <row r="26" customFormat="false" ht="15" hidden="false" customHeight="false" outlineLevel="0" collapsed="false">
      <c r="A26" s="16" t="s">
        <v>35</v>
      </c>
      <c r="B26" s="10" t="n">
        <f aca="false">IF(A26="","",SUMIF(Assignments!E:E,A26,Assignments!G:G)+SUMIF(Assignments!E:E,A26,Assignments!I:I)+SUMIF(Assignments!E:E,A26,Assignments!K:K)+SUMIF(Assignments!E:E,A26,Assignments!M:M))</f>
        <v>0</v>
      </c>
      <c r="C26" s="15" t="n">
        <f aca="false">IF(A26="","",B26/F15)</f>
        <v>0</v>
      </c>
    </row>
    <row r="27" customFormat="false" ht="15" hidden="false" customHeight="false" outlineLevel="0" collapsed="false">
      <c r="A27" s="16" t="s">
        <v>36</v>
      </c>
      <c r="B27" s="10" t="n">
        <f aca="false">IF(A27="","",SUMIF(Assignments!E:E,A27,Assignments!G:G)+SUMIF(Assignments!E:E,A27,Assignments!I:I)+SUMIF(Assignments!E:E,A27,Assignments!K:K)+SUMIF(Assignments!E:E,A27,Assignments!M:M))</f>
        <v>0</v>
      </c>
      <c r="C27" s="15" t="n">
        <f aca="false">IF(A27="","",B27/F15)</f>
        <v>0</v>
      </c>
    </row>
    <row r="28" customFormat="false" ht="15" hidden="false" customHeight="false" outlineLevel="0" collapsed="false">
      <c r="A28" s="16"/>
      <c r="B28" s="10" t="str">
        <f aca="false">IF(A28="","",SUMIF(Assignments!E:E,A28,Assignments!G:G)+SUMIF(Assignments!E:E,A28,Assignments!I:I)+SUMIF(Assignments!E:E,A28,Assignments!K:K)+SUMIF(Assignments!E:E,A28,Assignments!M:M))</f>
        <v/>
      </c>
      <c r="C28" s="15" t="str">
        <f aca="false">IF(A28="","",B28/F15)</f>
        <v/>
      </c>
    </row>
    <row r="29" customFormat="false" ht="15" hidden="false" customHeight="false" outlineLevel="0" collapsed="false">
      <c r="A29" s="16"/>
      <c r="B29" s="10" t="str">
        <f aca="false">IF(A29="","",SUMIF(Assignments!E:E,A29,Assignments!G:G)+SUMIF(Assignments!E:E,A29,Assignments!I:I)+SUMIF(Assignments!E:E,A29,Assignments!K:K)+SUMIF(Assignments!E:E,A29,Assignments!M:M))</f>
        <v/>
      </c>
      <c r="C29" s="15" t="str">
        <f aca="false">IF(A29="","",B29/F15)</f>
        <v/>
      </c>
    </row>
    <row r="30" customFormat="false" ht="15" hidden="false" customHeight="false" outlineLevel="0" collapsed="false">
      <c r="A30" s="16"/>
      <c r="B30" s="10" t="str">
        <f aca="false">IF(A30="","",SUMIF(Assignments!E:E,A30,Assignments!G:G)+SUMIF(Assignments!E:E,A30,Assignments!I:I)+SUMIF(Assignments!E:E,A30,Assignments!K:K)+SUMIF(Assignments!E:E,A30,Assignments!M:M))</f>
        <v/>
      </c>
      <c r="C30" s="15" t="str">
        <f aca="false">IF(A30="","",B30/F15)</f>
        <v/>
      </c>
    </row>
    <row r="31" customFormat="false" ht="15" hidden="false" customHeight="false" outlineLevel="0" collapsed="false">
      <c r="A31" s="16"/>
      <c r="B31" s="10" t="str">
        <f aca="false">IF(A31="","",SUMIF(Assignments!E:E,A31,Assignments!G:G)+SUMIF(Assignments!E:E,A31,Assignments!I:I)+SUMIF(Assignments!E:E,A31,Assignments!K:K)+SUMIF(Assignments!E:E,A31,Assignments!M:M))</f>
        <v/>
      </c>
      <c r="C31" s="15" t="str">
        <f aca="false">IF(A31="","",B31/F15)</f>
        <v/>
      </c>
    </row>
    <row r="32" customFormat="false" ht="15" hidden="false" customHeight="false" outlineLevel="0" collapsed="false">
      <c r="A32" s="16"/>
      <c r="B32" s="10" t="str">
        <f aca="false">IF(A32="","",SUMIF(Assignments!E:E,A32,Assignments!G:G)+SUMIF(Assignments!E:E,A32,Assignments!I:I)+SUMIF(Assignments!E:E,A32,Assignments!K:K)+SUMIF(Assignments!E:E,A32,Assignments!M:M))</f>
        <v/>
      </c>
      <c r="C32" s="15" t="str">
        <f aca="false">IF(A32="","",B32/F15)</f>
        <v/>
      </c>
    </row>
    <row r="33" customFormat="false" ht="15" hidden="false" customHeight="false" outlineLevel="0" collapsed="false">
      <c r="A33" s="16"/>
      <c r="B33" s="10" t="str">
        <f aca="false">IF(A33="","",SUMIF(Assignments!E:E,A33,Assignments!G:G)+SUMIF(Assignments!E:E,A33,Assignments!I:I)+SUMIF(Assignments!E:E,A33,Assignments!K:K)+SUMIF(Assignments!E:E,A33,Assignments!M:M))</f>
        <v/>
      </c>
      <c r="C33" s="15" t="str">
        <f aca="false">IF(A33="","",B33/F15)</f>
        <v/>
      </c>
    </row>
    <row r="34" customFormat="false" ht="15" hidden="false" customHeight="false" outlineLevel="0" collapsed="false">
      <c r="A34" s="16"/>
      <c r="B34" s="10" t="str">
        <f aca="false">IF(A34="","",SUMIF(Assignments!E:E,A34,Assignments!G:G)+SUMIF(Assignments!E:E,A34,Assignments!I:I)+SUMIF(Assignments!E:E,A34,Assignments!K:K)+SUMIF(Assignments!E:E,A34,Assignments!M:M))</f>
        <v/>
      </c>
      <c r="C34" s="15" t="str">
        <f aca="false">IF(A34="","",B34/F15)</f>
        <v/>
      </c>
    </row>
    <row r="35" customFormat="false" ht="15" hidden="false" customHeight="false" outlineLevel="0" collapsed="false">
      <c r="A35" s="16"/>
      <c r="B35" s="10" t="str">
        <f aca="false">IF(A35="","",SUMIF(Assignments!E:E,A35,Assignments!G:G)+SUMIF(Assignments!E:E,A35,Assignments!I:I)+SUMIF(Assignments!E:E,A35,Assignments!K:K)+SUMIF(Assignments!E:E,A35,Assignments!M:M))</f>
        <v/>
      </c>
      <c r="C35" s="15" t="str">
        <f aca="false">IF(A35="","",B35/F15)</f>
        <v/>
      </c>
    </row>
  </sheetData>
  <mergeCells count="2">
    <mergeCell ref="A1:H1"/>
    <mergeCell ref="A2:H2"/>
  </mergeCells>
  <conditionalFormatting sqref="H6:H14">
    <cfRule type="cellIs" priority="2" operator="less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CD4"/>
    <pageSetUpPr fitToPage="false"/>
  </sheetPr>
  <dimension ref="A1:N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10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7"/>
    <col collapsed="false" customWidth="true" hidden="false" outlineLevel="0" max="14" min="14" style="0" width="8"/>
  </cols>
  <sheetData>
    <row r="1" customFormat="false" ht="17.35" hidden="false" customHeight="false" outlineLevel="0" collapsed="false">
      <c r="A1" s="17" t="s">
        <v>37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15" hidden="false" customHeight="false" outlineLevel="0" collapsed="false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18" t="s">
        <v>39</v>
      </c>
      <c r="B3" s="18"/>
      <c r="C3" s="18"/>
      <c r="D3" s="18"/>
      <c r="E3" s="18"/>
      <c r="F3" s="19" t="s">
        <v>20</v>
      </c>
      <c r="G3" s="19"/>
      <c r="H3" s="19" t="s">
        <v>13</v>
      </c>
      <c r="I3" s="19"/>
      <c r="J3" s="19" t="s">
        <v>16</v>
      </c>
      <c r="K3" s="19"/>
      <c r="L3" s="19" t="s">
        <v>23</v>
      </c>
      <c r="M3" s="19"/>
      <c r="N3" s="20" t="s">
        <v>40</v>
      </c>
    </row>
    <row r="4" customFormat="false" ht="15" hidden="false" customHeight="false" outlineLevel="0" collapsed="false">
      <c r="A4" s="21" t="s">
        <v>4</v>
      </c>
      <c r="B4" s="21" t="s">
        <v>41</v>
      </c>
      <c r="C4" s="21" t="s">
        <v>42</v>
      </c>
      <c r="D4" s="21" t="s">
        <v>43</v>
      </c>
      <c r="E4" s="21" t="s">
        <v>32</v>
      </c>
      <c r="F4" s="21" t="s">
        <v>44</v>
      </c>
      <c r="G4" s="21" t="s">
        <v>45</v>
      </c>
      <c r="H4" s="21" t="s">
        <v>46</v>
      </c>
      <c r="I4" s="21" t="s">
        <v>47</v>
      </c>
      <c r="J4" s="21" t="s">
        <v>48</v>
      </c>
      <c r="K4" s="21" t="s">
        <v>49</v>
      </c>
      <c r="L4" s="21" t="s">
        <v>50</v>
      </c>
      <c r="M4" s="21" t="s">
        <v>51</v>
      </c>
      <c r="N4" s="21" t="s">
        <v>52</v>
      </c>
    </row>
    <row r="5" customFormat="false" ht="15" hidden="false" customHeight="false" outlineLevel="0" collapsed="false">
      <c r="A5" s="6" t="n">
        <v>1</v>
      </c>
      <c r="B5" s="16"/>
      <c r="C5" s="16"/>
      <c r="D5" s="16"/>
      <c r="E5" s="16"/>
      <c r="F5" s="16"/>
      <c r="G5" s="9"/>
      <c r="H5" s="16"/>
      <c r="I5" s="9"/>
      <c r="J5" s="16"/>
      <c r="K5" s="9"/>
      <c r="L5" s="16"/>
      <c r="M5" s="9"/>
      <c r="N5" s="22" t="n">
        <f aca="false">SUM(G5,I5,K5,M5)</f>
        <v>0</v>
      </c>
    </row>
    <row r="6" customFormat="false" ht="15" hidden="false" customHeight="false" outlineLevel="0" collapsed="false">
      <c r="A6" s="6" t="n">
        <v>2</v>
      </c>
      <c r="B6" s="16"/>
      <c r="C6" s="16"/>
      <c r="D6" s="16"/>
      <c r="E6" s="16"/>
      <c r="F6" s="16"/>
      <c r="G6" s="9"/>
      <c r="H6" s="16"/>
      <c r="I6" s="9"/>
      <c r="J6" s="16"/>
      <c r="K6" s="9"/>
      <c r="L6" s="16"/>
      <c r="M6" s="9"/>
      <c r="N6" s="22" t="n">
        <f aca="false">SUM(G6,I6,K6,M6)</f>
        <v>0</v>
      </c>
    </row>
    <row r="7" customFormat="false" ht="15" hidden="false" customHeight="false" outlineLevel="0" collapsed="false">
      <c r="A7" s="6" t="n">
        <v>3</v>
      </c>
      <c r="B7" s="16"/>
      <c r="C7" s="16"/>
      <c r="D7" s="16"/>
      <c r="E7" s="16"/>
      <c r="F7" s="16"/>
      <c r="G7" s="9"/>
      <c r="H7" s="16"/>
      <c r="I7" s="9"/>
      <c r="J7" s="16"/>
      <c r="K7" s="9"/>
      <c r="L7" s="16"/>
      <c r="M7" s="9"/>
      <c r="N7" s="22" t="n">
        <f aca="false">SUM(G7,I7,K7,M7)</f>
        <v>0</v>
      </c>
    </row>
    <row r="8" customFormat="false" ht="15" hidden="false" customHeight="false" outlineLevel="0" collapsed="false">
      <c r="A8" s="6" t="n">
        <v>4</v>
      </c>
      <c r="B8" s="16"/>
      <c r="C8" s="16"/>
      <c r="D8" s="16"/>
      <c r="E8" s="16"/>
      <c r="F8" s="16"/>
      <c r="G8" s="9"/>
      <c r="H8" s="16"/>
      <c r="I8" s="9"/>
      <c r="J8" s="16"/>
      <c r="K8" s="9"/>
      <c r="L8" s="16"/>
      <c r="M8" s="9"/>
      <c r="N8" s="22" t="n">
        <f aca="false">SUM(G8,I8,K8,M8)</f>
        <v>0</v>
      </c>
    </row>
    <row r="9" customFormat="false" ht="15" hidden="false" customHeight="false" outlineLevel="0" collapsed="false">
      <c r="A9" s="6" t="n">
        <v>5</v>
      </c>
      <c r="B9" s="16"/>
      <c r="C9" s="16"/>
      <c r="D9" s="16"/>
      <c r="E9" s="16"/>
      <c r="F9" s="16"/>
      <c r="G9" s="9"/>
      <c r="H9" s="16"/>
      <c r="I9" s="9"/>
      <c r="J9" s="16"/>
      <c r="K9" s="9"/>
      <c r="L9" s="16"/>
      <c r="M9" s="9"/>
      <c r="N9" s="22" t="n">
        <f aca="false">SUM(G9,I9,K9,M9)</f>
        <v>0</v>
      </c>
    </row>
    <row r="10" customFormat="false" ht="15" hidden="false" customHeight="false" outlineLevel="0" collapsed="false">
      <c r="A10" s="6" t="n">
        <v>6</v>
      </c>
      <c r="B10" s="16"/>
      <c r="C10" s="16"/>
      <c r="D10" s="16"/>
      <c r="E10" s="16"/>
      <c r="F10" s="16"/>
      <c r="G10" s="9"/>
      <c r="H10" s="16"/>
      <c r="I10" s="9"/>
      <c r="J10" s="16"/>
      <c r="K10" s="9"/>
      <c r="L10" s="16"/>
      <c r="M10" s="9"/>
      <c r="N10" s="22" t="n">
        <f aca="false">SUM(G10,I10,K10,M10)</f>
        <v>0</v>
      </c>
    </row>
    <row r="11" customFormat="false" ht="15" hidden="false" customHeight="false" outlineLevel="0" collapsed="false">
      <c r="A11" s="6" t="n">
        <v>7</v>
      </c>
      <c r="B11" s="16"/>
      <c r="C11" s="16"/>
      <c r="D11" s="16"/>
      <c r="E11" s="16"/>
      <c r="F11" s="16"/>
      <c r="G11" s="9"/>
      <c r="H11" s="16"/>
      <c r="I11" s="9"/>
      <c r="J11" s="16"/>
      <c r="K11" s="9"/>
      <c r="L11" s="16"/>
      <c r="M11" s="9"/>
      <c r="N11" s="22" t="n">
        <f aca="false">SUM(G11,I11,K11,M11)</f>
        <v>0</v>
      </c>
    </row>
    <row r="12" customFormat="false" ht="15" hidden="false" customHeight="false" outlineLevel="0" collapsed="false">
      <c r="A12" s="6" t="n">
        <v>8</v>
      </c>
      <c r="B12" s="16"/>
      <c r="C12" s="16"/>
      <c r="D12" s="16"/>
      <c r="E12" s="16"/>
      <c r="F12" s="16"/>
      <c r="G12" s="9"/>
      <c r="H12" s="16"/>
      <c r="I12" s="9"/>
      <c r="J12" s="16"/>
      <c r="K12" s="9"/>
      <c r="L12" s="16"/>
      <c r="M12" s="9"/>
      <c r="N12" s="22" t="n">
        <f aca="false">SUM(G12,I12,K12,M12)</f>
        <v>0</v>
      </c>
    </row>
    <row r="13" customFormat="false" ht="15" hidden="false" customHeight="false" outlineLevel="0" collapsed="false">
      <c r="A13" s="6" t="n">
        <v>9</v>
      </c>
      <c r="B13" s="16"/>
      <c r="C13" s="16"/>
      <c r="D13" s="16"/>
      <c r="E13" s="16"/>
      <c r="F13" s="16"/>
      <c r="G13" s="9"/>
      <c r="H13" s="16"/>
      <c r="I13" s="9"/>
      <c r="J13" s="16"/>
      <c r="K13" s="9"/>
      <c r="L13" s="16"/>
      <c r="M13" s="9"/>
      <c r="N13" s="22" t="n">
        <f aca="false">SUM(G13,I13,K13,M13)</f>
        <v>0</v>
      </c>
    </row>
    <row r="14" customFormat="false" ht="15" hidden="false" customHeight="false" outlineLevel="0" collapsed="false">
      <c r="A14" s="6" t="n">
        <v>10</v>
      </c>
      <c r="B14" s="16"/>
      <c r="C14" s="16"/>
      <c r="D14" s="16"/>
      <c r="E14" s="16"/>
      <c r="F14" s="16"/>
      <c r="G14" s="9"/>
      <c r="H14" s="16"/>
      <c r="I14" s="9"/>
      <c r="J14" s="16"/>
      <c r="K14" s="9"/>
      <c r="L14" s="16"/>
      <c r="M14" s="9"/>
      <c r="N14" s="22" t="n">
        <f aca="false">SUM(G14,I14,K14,M14)</f>
        <v>0</v>
      </c>
    </row>
    <row r="15" customFormat="false" ht="15" hidden="false" customHeight="false" outlineLevel="0" collapsed="false">
      <c r="A15" s="6" t="n">
        <v>11</v>
      </c>
      <c r="B15" s="16"/>
      <c r="C15" s="16"/>
      <c r="D15" s="16"/>
      <c r="E15" s="16"/>
      <c r="F15" s="16"/>
      <c r="G15" s="9"/>
      <c r="H15" s="16"/>
      <c r="I15" s="9"/>
      <c r="J15" s="16"/>
      <c r="K15" s="9"/>
      <c r="L15" s="16"/>
      <c r="M15" s="9"/>
      <c r="N15" s="22" t="n">
        <f aca="false">SUM(G15,I15,K15,M15)</f>
        <v>0</v>
      </c>
    </row>
    <row r="16" customFormat="false" ht="15" hidden="false" customHeight="false" outlineLevel="0" collapsed="false">
      <c r="A16" s="6" t="n">
        <v>12</v>
      </c>
      <c r="B16" s="16"/>
      <c r="C16" s="16"/>
      <c r="D16" s="16"/>
      <c r="E16" s="16"/>
      <c r="F16" s="16"/>
      <c r="G16" s="9"/>
      <c r="H16" s="16"/>
      <c r="I16" s="9"/>
      <c r="J16" s="16"/>
      <c r="K16" s="9"/>
      <c r="L16" s="16"/>
      <c r="M16" s="9"/>
      <c r="N16" s="22" t="n">
        <f aca="false">SUM(G16,I16,K16,M16)</f>
        <v>0</v>
      </c>
    </row>
    <row r="17" customFormat="false" ht="15" hidden="false" customHeight="false" outlineLevel="0" collapsed="false">
      <c r="A17" s="6" t="n">
        <v>13</v>
      </c>
      <c r="B17" s="16"/>
      <c r="C17" s="16"/>
      <c r="D17" s="16"/>
      <c r="E17" s="16"/>
      <c r="F17" s="16"/>
      <c r="G17" s="9"/>
      <c r="H17" s="16"/>
      <c r="I17" s="9"/>
      <c r="J17" s="16"/>
      <c r="K17" s="9"/>
      <c r="L17" s="16"/>
      <c r="M17" s="9"/>
      <c r="N17" s="22" t="n">
        <f aca="false">SUM(G17,I17,K17,M17)</f>
        <v>0</v>
      </c>
    </row>
    <row r="18" customFormat="false" ht="15" hidden="false" customHeight="false" outlineLevel="0" collapsed="false">
      <c r="A18" s="6" t="n">
        <v>14</v>
      </c>
      <c r="B18" s="16"/>
      <c r="C18" s="16"/>
      <c r="D18" s="16"/>
      <c r="E18" s="16"/>
      <c r="F18" s="16"/>
      <c r="G18" s="9"/>
      <c r="H18" s="16"/>
      <c r="I18" s="9"/>
      <c r="J18" s="16"/>
      <c r="K18" s="9"/>
      <c r="L18" s="16"/>
      <c r="M18" s="9"/>
      <c r="N18" s="22" t="n">
        <f aca="false">SUM(G18,I18,K18,M18)</f>
        <v>0</v>
      </c>
    </row>
    <row r="19" customFormat="false" ht="15" hidden="false" customHeight="false" outlineLevel="0" collapsed="false">
      <c r="A19" s="6" t="n">
        <v>15</v>
      </c>
      <c r="B19" s="16"/>
      <c r="C19" s="16"/>
      <c r="D19" s="16"/>
      <c r="E19" s="16"/>
      <c r="F19" s="16"/>
      <c r="G19" s="9"/>
      <c r="H19" s="16"/>
      <c r="I19" s="9"/>
      <c r="J19" s="16"/>
      <c r="K19" s="9"/>
      <c r="L19" s="16"/>
      <c r="M19" s="9"/>
      <c r="N19" s="22" t="n">
        <f aca="false">SUM(G19,I19,K19,M19)</f>
        <v>0</v>
      </c>
    </row>
    <row r="20" customFormat="false" ht="15" hidden="false" customHeight="false" outlineLevel="0" collapsed="false">
      <c r="A20" s="6" t="n">
        <v>16</v>
      </c>
      <c r="B20" s="16"/>
      <c r="C20" s="16"/>
      <c r="D20" s="16"/>
      <c r="E20" s="16"/>
      <c r="F20" s="16"/>
      <c r="G20" s="9"/>
      <c r="H20" s="16"/>
      <c r="I20" s="9"/>
      <c r="J20" s="16"/>
      <c r="K20" s="9"/>
      <c r="L20" s="16"/>
      <c r="M20" s="9"/>
      <c r="N20" s="22" t="n">
        <f aca="false">SUM(G20,I20,K20,M20)</f>
        <v>0</v>
      </c>
    </row>
    <row r="21" customFormat="false" ht="15" hidden="false" customHeight="false" outlineLevel="0" collapsed="false">
      <c r="A21" s="6" t="n">
        <v>17</v>
      </c>
      <c r="B21" s="16"/>
      <c r="C21" s="16"/>
      <c r="D21" s="16"/>
      <c r="E21" s="16"/>
      <c r="F21" s="16"/>
      <c r="G21" s="9"/>
      <c r="H21" s="16"/>
      <c r="I21" s="9"/>
      <c r="J21" s="16"/>
      <c r="K21" s="9"/>
      <c r="L21" s="16"/>
      <c r="M21" s="9"/>
      <c r="N21" s="22" t="n">
        <f aca="false">SUM(G21,I21,K21,M21)</f>
        <v>0</v>
      </c>
    </row>
    <row r="22" customFormat="false" ht="15" hidden="false" customHeight="false" outlineLevel="0" collapsed="false">
      <c r="A22" s="6" t="n">
        <v>18</v>
      </c>
      <c r="B22" s="16"/>
      <c r="C22" s="16"/>
      <c r="D22" s="16"/>
      <c r="E22" s="16"/>
      <c r="F22" s="16"/>
      <c r="G22" s="9"/>
      <c r="H22" s="16"/>
      <c r="I22" s="9"/>
      <c r="J22" s="16"/>
      <c r="K22" s="9"/>
      <c r="L22" s="16"/>
      <c r="M22" s="9"/>
      <c r="N22" s="22" t="n">
        <f aca="false">SUM(G22,I22,K22,M22)</f>
        <v>0</v>
      </c>
    </row>
    <row r="23" customFormat="false" ht="15" hidden="false" customHeight="false" outlineLevel="0" collapsed="false">
      <c r="A23" s="6" t="n">
        <v>19</v>
      </c>
      <c r="B23" s="16"/>
      <c r="C23" s="16"/>
      <c r="D23" s="16"/>
      <c r="E23" s="16"/>
      <c r="F23" s="16"/>
      <c r="G23" s="9"/>
      <c r="H23" s="16"/>
      <c r="I23" s="9"/>
      <c r="J23" s="16"/>
      <c r="K23" s="9"/>
      <c r="L23" s="16"/>
      <c r="M23" s="9"/>
      <c r="N23" s="22" t="n">
        <f aca="false">SUM(G23,I23,K23,M23)</f>
        <v>0</v>
      </c>
    </row>
    <row r="24" customFormat="false" ht="15" hidden="false" customHeight="false" outlineLevel="0" collapsed="false">
      <c r="A24" s="6" t="n">
        <v>20</v>
      </c>
      <c r="B24" s="16"/>
      <c r="C24" s="16"/>
      <c r="D24" s="16"/>
      <c r="E24" s="16"/>
      <c r="F24" s="16"/>
      <c r="G24" s="9"/>
      <c r="H24" s="16"/>
      <c r="I24" s="9"/>
      <c r="J24" s="16"/>
      <c r="K24" s="9"/>
      <c r="L24" s="16"/>
      <c r="M24" s="9"/>
      <c r="N24" s="22" t="n">
        <f aca="false">SUM(G24,I24,K24,M24)</f>
        <v>0</v>
      </c>
    </row>
    <row r="25" customFormat="false" ht="15" hidden="false" customHeight="false" outlineLevel="0" collapsed="false">
      <c r="A25" s="6" t="n">
        <v>21</v>
      </c>
      <c r="B25" s="16"/>
      <c r="C25" s="16"/>
      <c r="D25" s="16"/>
      <c r="E25" s="16"/>
      <c r="F25" s="16"/>
      <c r="G25" s="9"/>
      <c r="H25" s="16"/>
      <c r="I25" s="9"/>
      <c r="J25" s="16"/>
      <c r="K25" s="9"/>
      <c r="L25" s="16"/>
      <c r="M25" s="9"/>
      <c r="N25" s="22" t="n">
        <f aca="false">SUM(G25,I25,K25,M25)</f>
        <v>0</v>
      </c>
    </row>
    <row r="26" customFormat="false" ht="15" hidden="false" customHeight="false" outlineLevel="0" collapsed="false">
      <c r="A26" s="6" t="n">
        <v>22</v>
      </c>
      <c r="B26" s="16"/>
      <c r="C26" s="16"/>
      <c r="D26" s="16"/>
      <c r="E26" s="16"/>
      <c r="F26" s="16"/>
      <c r="G26" s="9"/>
      <c r="H26" s="16"/>
      <c r="I26" s="9"/>
      <c r="J26" s="16"/>
      <c r="K26" s="9"/>
      <c r="L26" s="16"/>
      <c r="M26" s="9"/>
      <c r="N26" s="22" t="n">
        <f aca="false">SUM(G26,I26,K26,M26)</f>
        <v>0</v>
      </c>
    </row>
    <row r="27" customFormat="false" ht="15" hidden="false" customHeight="false" outlineLevel="0" collapsed="false">
      <c r="A27" s="6" t="n">
        <v>23</v>
      </c>
      <c r="B27" s="16"/>
      <c r="C27" s="16"/>
      <c r="D27" s="16"/>
      <c r="E27" s="16"/>
      <c r="F27" s="16"/>
      <c r="G27" s="9"/>
      <c r="H27" s="16"/>
      <c r="I27" s="9"/>
      <c r="J27" s="16"/>
      <c r="K27" s="9"/>
      <c r="L27" s="16"/>
      <c r="M27" s="9"/>
      <c r="N27" s="22" t="n">
        <f aca="false">SUM(G27,I27,K27,M27)</f>
        <v>0</v>
      </c>
    </row>
    <row r="28" customFormat="false" ht="15" hidden="false" customHeight="false" outlineLevel="0" collapsed="false">
      <c r="A28" s="6" t="n">
        <v>24</v>
      </c>
      <c r="B28" s="16"/>
      <c r="C28" s="16"/>
      <c r="D28" s="16"/>
      <c r="E28" s="16"/>
      <c r="F28" s="16"/>
      <c r="G28" s="9"/>
      <c r="H28" s="16"/>
      <c r="I28" s="9"/>
      <c r="J28" s="16"/>
      <c r="K28" s="9"/>
      <c r="L28" s="16"/>
      <c r="M28" s="9"/>
      <c r="N28" s="22" t="n">
        <f aca="false">SUM(G28,I28,K28,M28)</f>
        <v>0</v>
      </c>
    </row>
    <row r="29" customFormat="false" ht="15" hidden="false" customHeight="false" outlineLevel="0" collapsed="false">
      <c r="A29" s="6" t="n">
        <v>25</v>
      </c>
      <c r="B29" s="16"/>
      <c r="C29" s="16"/>
      <c r="D29" s="16"/>
      <c r="E29" s="16"/>
      <c r="F29" s="16"/>
      <c r="G29" s="9"/>
      <c r="H29" s="16"/>
      <c r="I29" s="9"/>
      <c r="J29" s="16"/>
      <c r="K29" s="9"/>
      <c r="L29" s="16"/>
      <c r="M29" s="9"/>
      <c r="N29" s="22" t="n">
        <f aca="false">SUM(G29,I29,K29,M29)</f>
        <v>0</v>
      </c>
    </row>
    <row r="30" customFormat="false" ht="15" hidden="false" customHeight="false" outlineLevel="0" collapsed="false">
      <c r="A30" s="6" t="n">
        <v>26</v>
      </c>
      <c r="B30" s="16"/>
      <c r="C30" s="16"/>
      <c r="D30" s="16"/>
      <c r="E30" s="16"/>
      <c r="F30" s="16"/>
      <c r="G30" s="9"/>
      <c r="H30" s="16"/>
      <c r="I30" s="9"/>
      <c r="J30" s="16"/>
      <c r="K30" s="9"/>
      <c r="L30" s="16"/>
      <c r="M30" s="9"/>
      <c r="N30" s="22" t="n">
        <f aca="false">SUM(G30,I30,K30,M30)</f>
        <v>0</v>
      </c>
    </row>
    <row r="31" customFormat="false" ht="15" hidden="false" customHeight="false" outlineLevel="0" collapsed="false">
      <c r="A31" s="6" t="n">
        <v>27</v>
      </c>
      <c r="B31" s="16"/>
      <c r="C31" s="16"/>
      <c r="D31" s="16"/>
      <c r="E31" s="16"/>
      <c r="F31" s="16"/>
      <c r="G31" s="9"/>
      <c r="H31" s="16"/>
      <c r="I31" s="9"/>
      <c r="J31" s="16"/>
      <c r="K31" s="9"/>
      <c r="L31" s="16"/>
      <c r="M31" s="9"/>
      <c r="N31" s="22" t="n">
        <f aca="false">SUM(G31,I31,K31,M31)</f>
        <v>0</v>
      </c>
    </row>
    <row r="32" customFormat="false" ht="15" hidden="false" customHeight="false" outlineLevel="0" collapsed="false">
      <c r="A32" s="6" t="n">
        <v>28</v>
      </c>
      <c r="B32" s="16"/>
      <c r="C32" s="16"/>
      <c r="D32" s="16"/>
      <c r="E32" s="16"/>
      <c r="F32" s="16"/>
      <c r="G32" s="9"/>
      <c r="H32" s="16"/>
      <c r="I32" s="9"/>
      <c r="J32" s="16"/>
      <c r="K32" s="9"/>
      <c r="L32" s="16"/>
      <c r="M32" s="9"/>
      <c r="N32" s="22" t="n">
        <f aca="false">SUM(G32,I32,K32,M32)</f>
        <v>0</v>
      </c>
    </row>
    <row r="33" customFormat="false" ht="15" hidden="false" customHeight="false" outlineLevel="0" collapsed="false">
      <c r="A33" s="6" t="n">
        <v>29</v>
      </c>
      <c r="B33" s="16"/>
      <c r="C33" s="16"/>
      <c r="D33" s="16"/>
      <c r="E33" s="16"/>
      <c r="F33" s="16"/>
      <c r="G33" s="9"/>
      <c r="H33" s="16"/>
      <c r="I33" s="9"/>
      <c r="J33" s="16"/>
      <c r="K33" s="9"/>
      <c r="L33" s="16"/>
      <c r="M33" s="9"/>
      <c r="N33" s="22" t="n">
        <f aca="false">SUM(G33,I33,K33,M33)</f>
        <v>0</v>
      </c>
    </row>
    <row r="34" customFormat="false" ht="15" hidden="false" customHeight="false" outlineLevel="0" collapsed="false">
      <c r="A34" s="6" t="n">
        <v>30</v>
      </c>
      <c r="B34" s="16"/>
      <c r="C34" s="16"/>
      <c r="D34" s="16"/>
      <c r="E34" s="16"/>
      <c r="F34" s="16"/>
      <c r="G34" s="9"/>
      <c r="H34" s="16"/>
      <c r="I34" s="9"/>
      <c r="J34" s="16"/>
      <c r="K34" s="9"/>
      <c r="L34" s="16"/>
      <c r="M34" s="9"/>
      <c r="N34" s="22" t="n">
        <f aca="false">SUM(G34,I34,K34,M34)</f>
        <v>0</v>
      </c>
    </row>
    <row r="35" customFormat="false" ht="15" hidden="false" customHeight="false" outlineLevel="0" collapsed="false">
      <c r="A35" s="6" t="n">
        <v>31</v>
      </c>
      <c r="B35" s="16"/>
      <c r="C35" s="16"/>
      <c r="D35" s="16"/>
      <c r="E35" s="16"/>
      <c r="F35" s="16"/>
      <c r="G35" s="9"/>
      <c r="H35" s="16"/>
      <c r="I35" s="9"/>
      <c r="J35" s="16"/>
      <c r="K35" s="9"/>
      <c r="L35" s="16"/>
      <c r="M35" s="9"/>
      <c r="N35" s="22" t="n">
        <f aca="false">SUM(G35,I35,K35,M35)</f>
        <v>0</v>
      </c>
    </row>
    <row r="36" customFormat="false" ht="15" hidden="false" customHeight="false" outlineLevel="0" collapsed="false">
      <c r="A36" s="6" t="n">
        <v>32</v>
      </c>
      <c r="B36" s="16"/>
      <c r="C36" s="16"/>
      <c r="D36" s="16"/>
      <c r="E36" s="16"/>
      <c r="F36" s="16"/>
      <c r="G36" s="9"/>
      <c r="H36" s="16"/>
      <c r="I36" s="9"/>
      <c r="J36" s="16"/>
      <c r="K36" s="9"/>
      <c r="L36" s="16"/>
      <c r="M36" s="9"/>
      <c r="N36" s="22" t="n">
        <f aca="false">SUM(G36,I36,K36,M36)</f>
        <v>0</v>
      </c>
    </row>
    <row r="37" customFormat="false" ht="15" hidden="false" customHeight="false" outlineLevel="0" collapsed="false">
      <c r="A37" s="6" t="n">
        <v>33</v>
      </c>
      <c r="B37" s="16"/>
      <c r="C37" s="16"/>
      <c r="D37" s="16"/>
      <c r="E37" s="16"/>
      <c r="F37" s="16"/>
      <c r="G37" s="9"/>
      <c r="H37" s="16"/>
      <c r="I37" s="9"/>
      <c r="J37" s="16"/>
      <c r="K37" s="9"/>
      <c r="L37" s="16"/>
      <c r="M37" s="9"/>
      <c r="N37" s="22" t="n">
        <f aca="false">SUM(G37,I37,K37,M37)</f>
        <v>0</v>
      </c>
    </row>
    <row r="38" customFormat="false" ht="15" hidden="false" customHeight="false" outlineLevel="0" collapsed="false">
      <c r="A38" s="6" t="n">
        <v>34</v>
      </c>
      <c r="B38" s="16"/>
      <c r="C38" s="16"/>
      <c r="D38" s="16"/>
      <c r="E38" s="16"/>
      <c r="F38" s="16"/>
      <c r="G38" s="9"/>
      <c r="H38" s="16"/>
      <c r="I38" s="9"/>
      <c r="J38" s="16"/>
      <c r="K38" s="9"/>
      <c r="L38" s="16"/>
      <c r="M38" s="9"/>
      <c r="N38" s="22" t="n">
        <f aca="false">SUM(G38,I38,K38,M38)</f>
        <v>0</v>
      </c>
    </row>
    <row r="39" customFormat="false" ht="15" hidden="false" customHeight="false" outlineLevel="0" collapsed="false">
      <c r="A39" s="6" t="n">
        <v>35</v>
      </c>
      <c r="B39" s="16"/>
      <c r="C39" s="16"/>
      <c r="D39" s="16"/>
      <c r="E39" s="16"/>
      <c r="F39" s="16"/>
      <c r="G39" s="9"/>
      <c r="H39" s="16"/>
      <c r="I39" s="9"/>
      <c r="J39" s="16"/>
      <c r="K39" s="9"/>
      <c r="L39" s="16"/>
      <c r="M39" s="9"/>
      <c r="N39" s="22" t="n">
        <f aca="false">SUM(G39,I39,K39,M39)</f>
        <v>0</v>
      </c>
    </row>
    <row r="40" customFormat="false" ht="15" hidden="false" customHeight="false" outlineLevel="0" collapsed="false">
      <c r="A40" s="6" t="n">
        <v>36</v>
      </c>
      <c r="B40" s="16"/>
      <c r="C40" s="16"/>
      <c r="D40" s="16"/>
      <c r="E40" s="16"/>
      <c r="F40" s="16"/>
      <c r="G40" s="9"/>
      <c r="H40" s="16"/>
      <c r="I40" s="9"/>
      <c r="J40" s="16"/>
      <c r="K40" s="9"/>
      <c r="L40" s="16"/>
      <c r="M40" s="9"/>
      <c r="N40" s="22" t="n">
        <f aca="false">SUM(G40,I40,K40,M40)</f>
        <v>0</v>
      </c>
    </row>
    <row r="41" customFormat="false" ht="15" hidden="false" customHeight="false" outlineLevel="0" collapsed="false">
      <c r="A41" s="6" t="n">
        <v>37</v>
      </c>
      <c r="B41" s="16"/>
      <c r="C41" s="16"/>
      <c r="D41" s="16"/>
      <c r="E41" s="16"/>
      <c r="F41" s="16"/>
      <c r="G41" s="9"/>
      <c r="H41" s="16"/>
      <c r="I41" s="9"/>
      <c r="J41" s="16"/>
      <c r="K41" s="9"/>
      <c r="L41" s="16"/>
      <c r="M41" s="9"/>
      <c r="N41" s="22" t="n">
        <f aca="false">SUM(G41,I41,K41,M41)</f>
        <v>0</v>
      </c>
    </row>
    <row r="42" customFormat="false" ht="15" hidden="false" customHeight="false" outlineLevel="0" collapsed="false">
      <c r="A42" s="6" t="n">
        <v>38</v>
      </c>
      <c r="B42" s="16"/>
      <c r="C42" s="16"/>
      <c r="D42" s="16"/>
      <c r="E42" s="16"/>
      <c r="F42" s="16"/>
      <c r="G42" s="9"/>
      <c r="H42" s="16"/>
      <c r="I42" s="9"/>
      <c r="J42" s="16"/>
      <c r="K42" s="9"/>
      <c r="L42" s="16"/>
      <c r="M42" s="9"/>
      <c r="N42" s="22" t="n">
        <f aca="false">SUM(G42,I42,K42,M42)</f>
        <v>0</v>
      </c>
    </row>
    <row r="43" customFormat="false" ht="15" hidden="false" customHeight="false" outlineLevel="0" collapsed="false">
      <c r="A43" s="6" t="n">
        <v>39</v>
      </c>
      <c r="B43" s="16"/>
      <c r="C43" s="16"/>
      <c r="D43" s="16"/>
      <c r="E43" s="16"/>
      <c r="F43" s="16"/>
      <c r="G43" s="9"/>
      <c r="H43" s="16"/>
      <c r="I43" s="9"/>
      <c r="J43" s="16"/>
      <c r="K43" s="9"/>
      <c r="L43" s="16"/>
      <c r="M43" s="9"/>
      <c r="N43" s="22" t="n">
        <f aca="false">SUM(G43,I43,K43,M43)</f>
        <v>0</v>
      </c>
    </row>
    <row r="44" customFormat="false" ht="15" hidden="false" customHeight="false" outlineLevel="0" collapsed="false">
      <c r="A44" s="6" t="n">
        <v>40</v>
      </c>
      <c r="B44" s="16"/>
      <c r="C44" s="16"/>
      <c r="D44" s="16"/>
      <c r="E44" s="16"/>
      <c r="F44" s="16"/>
      <c r="G44" s="9"/>
      <c r="H44" s="16"/>
      <c r="I44" s="9"/>
      <c r="J44" s="16"/>
      <c r="K44" s="9"/>
      <c r="L44" s="16"/>
      <c r="M44" s="9"/>
      <c r="N44" s="22" t="n">
        <f aca="false">SUM(G44,I44,K44,M44)</f>
        <v>0</v>
      </c>
    </row>
    <row r="45" customFormat="false" ht="15" hidden="false" customHeight="false" outlineLevel="0" collapsed="false">
      <c r="E45" s="14" t="s">
        <v>53</v>
      </c>
      <c r="G45" s="23" t="n">
        <f aca="false">SUM(G5:G44)</f>
        <v>0</v>
      </c>
      <c r="I45" s="23" t="n">
        <f aca="false">SUM(I5:I44)</f>
        <v>0</v>
      </c>
      <c r="K45" s="23" t="n">
        <f aca="false">SUM(K5:K44)</f>
        <v>0</v>
      </c>
      <c r="M45" s="23" t="n">
        <f aca="false">SUM(M5:M44)</f>
        <v>0</v>
      </c>
      <c r="N45" s="23" t="n">
        <f aca="false">SUM(N5:N44)</f>
        <v>0</v>
      </c>
    </row>
  </sheetData>
  <mergeCells count="7">
    <mergeCell ref="A1:M1"/>
    <mergeCell ref="A2:M2"/>
    <mergeCell ref="A3:E3"/>
    <mergeCell ref="F3:G3"/>
    <mergeCell ref="H3:I3"/>
    <mergeCell ref="J3:K3"/>
    <mergeCell ref="L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7" t="s">
        <v>54</v>
      </c>
      <c r="B1" s="17"/>
      <c r="C1" s="17"/>
      <c r="D1" s="17"/>
      <c r="E1" s="17"/>
    </row>
    <row r="2" customFormat="false" ht="15" hidden="false" customHeight="false" outlineLevel="0" collapsed="false">
      <c r="A2" s="2" t="s">
        <v>55</v>
      </c>
      <c r="B2" s="2"/>
      <c r="C2" s="2"/>
      <c r="D2" s="2"/>
      <c r="E2" s="2"/>
    </row>
    <row r="3" customFormat="false" ht="15" hidden="false" customHeight="false" outlineLevel="0" collapsed="false">
      <c r="A3" s="5" t="s">
        <v>5</v>
      </c>
      <c r="B3" s="5" t="s">
        <v>56</v>
      </c>
      <c r="C3" s="5" t="s">
        <v>57</v>
      </c>
      <c r="D3" s="5" t="s">
        <v>58</v>
      </c>
      <c r="E3" s="5" t="s">
        <v>59</v>
      </c>
    </row>
    <row r="4" customFormat="false" ht="15" hidden="false" customHeight="false" outlineLevel="0" collapsed="false">
      <c r="A4" s="7" t="s">
        <v>12</v>
      </c>
      <c r="B4" s="9" t="n">
        <v>0</v>
      </c>
      <c r="C4" s="16"/>
      <c r="D4" s="16"/>
      <c r="E4" s="16"/>
    </row>
    <row r="5" customFormat="false" ht="15" hidden="false" customHeight="false" outlineLevel="0" collapsed="false">
      <c r="A5" s="7" t="s">
        <v>14</v>
      </c>
      <c r="B5" s="9" t="n">
        <v>0</v>
      </c>
      <c r="C5" s="16"/>
      <c r="D5" s="16"/>
      <c r="E5" s="16"/>
    </row>
    <row r="6" customFormat="false" ht="15" hidden="false" customHeight="false" outlineLevel="0" collapsed="false">
      <c r="A6" s="7" t="s">
        <v>15</v>
      </c>
      <c r="B6" s="9" t="n">
        <v>0</v>
      </c>
      <c r="C6" s="16"/>
      <c r="D6" s="16"/>
      <c r="E6" s="16"/>
    </row>
    <row r="7" customFormat="false" ht="15" hidden="false" customHeight="false" outlineLevel="0" collapsed="false">
      <c r="A7" s="7" t="s">
        <v>17</v>
      </c>
      <c r="B7" s="9" t="n">
        <v>0</v>
      </c>
      <c r="C7" s="16"/>
      <c r="D7" s="16"/>
      <c r="E7" s="16"/>
    </row>
    <row r="8" customFormat="false" ht="15" hidden="false" customHeight="false" outlineLevel="0" collapsed="false">
      <c r="A8" s="7" t="s">
        <v>18</v>
      </c>
      <c r="B8" s="9" t="n">
        <v>0</v>
      </c>
      <c r="C8" s="16"/>
      <c r="D8" s="16"/>
      <c r="E8" s="16"/>
    </row>
    <row r="9" customFormat="false" ht="15" hidden="false" customHeight="false" outlineLevel="0" collapsed="false">
      <c r="A9" s="7" t="s">
        <v>19</v>
      </c>
      <c r="B9" s="9" t="n">
        <v>0</v>
      </c>
      <c r="C9" s="16"/>
      <c r="D9" s="16"/>
      <c r="E9" s="16"/>
    </row>
    <row r="10" customFormat="false" ht="15" hidden="false" customHeight="false" outlineLevel="0" collapsed="false">
      <c r="A10" s="7" t="s">
        <v>21</v>
      </c>
      <c r="B10" s="9" t="n">
        <v>0</v>
      </c>
      <c r="C10" s="16"/>
      <c r="D10" s="16"/>
      <c r="E10" s="16"/>
    </row>
    <row r="11" customFormat="false" ht="15" hidden="false" customHeight="false" outlineLevel="0" collapsed="false">
      <c r="A11" s="7" t="s">
        <v>22</v>
      </c>
      <c r="B11" s="9" t="n">
        <v>0</v>
      </c>
      <c r="C11" s="16"/>
      <c r="D11" s="16"/>
      <c r="E11" s="16"/>
    </row>
    <row r="12" customFormat="false" ht="15" hidden="false" customHeight="false" outlineLevel="0" collapsed="false">
      <c r="A12" s="7" t="s">
        <v>24</v>
      </c>
      <c r="B12" s="9" t="n">
        <v>0</v>
      </c>
      <c r="C12" s="16"/>
      <c r="D12" s="16"/>
      <c r="E12" s="16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C8"/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5"/>
  </cols>
  <sheetData>
    <row r="1" customFormat="false" ht="17.35" hidden="false" customHeight="false" outlineLevel="0" collapsed="false">
      <c r="A1" s="24" t="s">
        <v>60</v>
      </c>
    </row>
    <row r="2" customFormat="false" ht="15" hidden="false" customHeight="false" outlineLevel="0" collapsed="false">
      <c r="A2" s="25"/>
    </row>
    <row r="3" customFormat="false" ht="15" hidden="false" customHeight="false" outlineLevel="0" collapsed="false">
      <c r="A3" s="26" t="s">
        <v>61</v>
      </c>
    </row>
    <row r="4" customFormat="false" ht="15" hidden="false" customHeight="false" outlineLevel="0" collapsed="false">
      <c r="A4" s="25" t="s">
        <v>62</v>
      </c>
    </row>
    <row r="5" customFormat="false" ht="15" hidden="false" customHeight="false" outlineLevel="0" collapsed="false">
      <c r="A5" s="25" t="s">
        <v>63</v>
      </c>
    </row>
    <row r="6" customFormat="false" ht="15" hidden="false" customHeight="false" outlineLevel="0" collapsed="false">
      <c r="A6" s="25" t="s">
        <v>64</v>
      </c>
    </row>
    <row r="7" customFormat="false" ht="15" hidden="false" customHeight="false" outlineLevel="0" collapsed="false">
      <c r="A7" s="25"/>
    </row>
    <row r="8" customFormat="false" ht="15" hidden="false" customHeight="false" outlineLevel="0" collapsed="false">
      <c r="A8" s="26" t="s">
        <v>65</v>
      </c>
    </row>
    <row r="9" customFormat="false" ht="15" hidden="false" customHeight="false" outlineLevel="0" collapsed="false">
      <c r="A9" s="25" t="s">
        <v>66</v>
      </c>
    </row>
    <row r="10" customFormat="false" ht="15" hidden="false" customHeight="false" outlineLevel="0" collapsed="false">
      <c r="A10" s="25" t="s">
        <v>67</v>
      </c>
    </row>
    <row r="11" customFormat="false" ht="15" hidden="false" customHeight="false" outlineLevel="0" collapsed="false">
      <c r="A11" s="25" t="s">
        <v>68</v>
      </c>
    </row>
    <row r="12" customFormat="false" ht="15" hidden="false" customHeight="false" outlineLevel="0" collapsed="false">
      <c r="A12" s="25" t="s">
        <v>69</v>
      </c>
    </row>
    <row r="13" customFormat="false" ht="15" hidden="false" customHeight="false" outlineLevel="0" collapsed="false">
      <c r="A13" s="25" t="s">
        <v>70</v>
      </c>
    </row>
    <row r="14" customFormat="false" ht="15" hidden="false" customHeight="false" outlineLevel="0" collapsed="false">
      <c r="A14" s="25" t="s">
        <v>71</v>
      </c>
    </row>
    <row r="15" customFormat="false" ht="15" hidden="false" customHeight="false" outlineLevel="0" collapsed="false">
      <c r="A15" s="25" t="s">
        <v>72</v>
      </c>
    </row>
    <row r="16" customFormat="false" ht="15" hidden="false" customHeight="false" outlineLevel="0" collapsed="false">
      <c r="A16" s="25" t="s">
        <v>73</v>
      </c>
    </row>
    <row r="17" customFormat="false" ht="15" hidden="false" customHeight="false" outlineLevel="0" collapsed="false">
      <c r="A17" s="25"/>
    </row>
    <row r="18" customFormat="false" ht="15" hidden="false" customHeight="false" outlineLevel="0" collapsed="false">
      <c r="A18" s="26" t="s">
        <v>74</v>
      </c>
    </row>
    <row r="19" customFormat="false" ht="15" hidden="false" customHeight="false" outlineLevel="0" collapsed="false">
      <c r="A19" s="25" t="s">
        <v>75</v>
      </c>
    </row>
    <row r="20" customFormat="false" ht="15" hidden="false" customHeight="false" outlineLevel="0" collapsed="false">
      <c r="A20" s="25" t="s">
        <v>76</v>
      </c>
    </row>
    <row r="21" customFormat="false" ht="15" hidden="false" customHeight="false" outlineLevel="0" collapsed="false">
      <c r="A21" s="25" t="s">
        <v>77</v>
      </c>
    </row>
    <row r="22" customFormat="false" ht="15" hidden="false" customHeight="false" outlineLevel="0" collapsed="false">
      <c r="A22" s="25"/>
    </row>
    <row r="23" customFormat="false" ht="15" hidden="false" customHeight="false" outlineLevel="0" collapsed="false">
      <c r="A23" s="26" t="s">
        <v>78</v>
      </c>
    </row>
    <row r="24" customFormat="false" ht="15" hidden="false" customHeight="false" outlineLevel="0" collapsed="false">
      <c r="A24" s="25" t="s">
        <v>79</v>
      </c>
    </row>
    <row r="25" customFormat="false" ht="15" hidden="false" customHeight="false" outlineLevel="0" collapsed="false">
      <c r="A25" s="25" t="s">
        <v>80</v>
      </c>
    </row>
    <row r="26" customFormat="false" ht="15" hidden="false" customHeight="false" outlineLevel="0" collapsed="false">
      <c r="A26" s="25" t="s">
        <v>81</v>
      </c>
    </row>
    <row r="27" customFormat="false" ht="15" hidden="false" customHeight="false" outlineLevel="0" collapsed="false">
      <c r="A27" s="25"/>
    </row>
    <row r="28" customFormat="false" ht="15" hidden="false" customHeight="false" outlineLevel="0" collapsed="false">
      <c r="A28" s="26" t="s">
        <v>82</v>
      </c>
    </row>
    <row r="29" customFormat="false" ht="15" hidden="false" customHeight="false" outlineLevel="0" collapsed="false">
      <c r="A29" s="25" t="s">
        <v>83</v>
      </c>
    </row>
    <row r="30" customFormat="false" ht="15" hidden="false" customHeight="false" outlineLevel="0" collapsed="false">
      <c r="A30" s="25" t="s">
        <v>84</v>
      </c>
    </row>
    <row r="31" customFormat="false" ht="15" hidden="false" customHeight="false" outlineLevel="0" collapsed="false">
      <c r="A31" s="25" t="s">
        <v>85</v>
      </c>
    </row>
    <row r="32" customFormat="false" ht="15" hidden="false" customHeight="false" outlineLevel="0" collapsed="false">
      <c r="A32" s="25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2026-04-14T14:51:49Z</dcterms:created>
  <dc:creator>openpyxl</dc:creator>
  <dc:description/>
  <dc:language>en-US</dc:language>
  <cp:lastModifiedBy/>
  <dcterms:modified xsi:type="dcterms:W3CDTF">2026-04-14T14:51:49Z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